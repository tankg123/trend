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EE88F7-5148-45B2-BD61-64F3D44560D1}" xr6:coauthVersionLast="47" xr6:coauthVersionMax="47" xr10:uidLastSave="{00000000-0000-0000-0000-000000000000}"/>
  <bookViews>
    <workbookView xWindow="4152" yWindow="1848" windowWidth="30960" windowHeight="14424" xr2:uid="{00000000-000D-0000-FFFF-FFFF00000000}"/>
  </bookViews>
  <sheets>
    <sheet name="CÔNG TY TNHH LBD MEDI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1" i="1"/>
  <c r="G24" i="1" l="1"/>
</calcChain>
</file>

<file path=xl/sharedStrings.xml><?xml version="1.0" encoding="utf-8"?>
<sst xmlns="http://schemas.openxmlformats.org/spreadsheetml/2006/main" count="58" uniqueCount="54">
  <si>
    <t>SOCIALIST REPUBLIC OF VIETNAM</t>
  </si>
  <si>
    <t>Independence - Freedom - Happiness</t>
  </si>
  <si>
    <t>----- o0o -----</t>
  </si>
  <si>
    <t>YOUTUBE RECONCILIATION MINUTES T04/2026</t>
  </si>
  <si>
    <t>Party A: OHENE MEDIA SYSTEMS UK LTD</t>
  </si>
  <si>
    <t>Address: 2A Connaught Avenue, London, England, E4 7AA</t>
  </si>
  <si>
    <t>Phone: (+44) 744 64 64 679 - Email: Admin@amnhacso.com</t>
  </si>
  <si>
    <t>Representative: Nguyen Van Tan</t>
  </si>
  <si>
    <t>Position: Director</t>
  </si>
  <si>
    <t>Party B: CÔNG TY TNHH LBD MEDIA</t>
  </si>
  <si>
    <t>Address: 1366/8 Đường Quốc Lộ 1A, Khu Phố 1, Phường Thới An, Thành phố Hồ
Chí Minh, Việt Nam</t>
  </si>
  <si>
    <t>Phone: 03798.12345</t>
  </si>
  <si>
    <t>Email : copyright@lbdmedia.vn</t>
  </si>
  <si>
    <t>Representative: Lê Tiểu Bình Long</t>
  </si>
  <si>
    <t>Position: Giám đốc</t>
  </si>
  <si>
    <t>No.</t>
  </si>
  <si>
    <t>REVENUE AFTER RECONCILIATION</t>
  </si>
  <si>
    <t>Notes</t>
  </si>
  <si>
    <t xml:space="preserve">lbd nextgen </t>
  </si>
  <si>
    <t>UC2CPEoeLDs7uOx1mm73aPdA</t>
  </si>
  <si>
    <t>80%</t>
  </si>
  <si>
    <t>khánh sang channel</t>
  </si>
  <si>
    <t>UCBv8Sl0RZd3TYA9wrmlud0A</t>
  </si>
  <si>
    <t>nhạc hot 1 thời</t>
  </si>
  <si>
    <t>UC-90YME2L4Kp1ZDvSQkQJWw</t>
  </si>
  <si>
    <t>Total Amount</t>
  </si>
  <si>
    <t>4,134,748đ</t>
  </si>
  <si>
    <t>Fee</t>
  </si>
  <si>
    <t>82,695đ</t>
  </si>
  <si>
    <t>reportData.AdvanceCost</t>
  </si>
  <si>
    <t>0đ</t>
  </si>
  <si>
    <t>Total Amount Party A must pay Party B</t>
  </si>
  <si>
    <t>4,052,053đ</t>
  </si>
  <si>
    <t>Amount in words: four million, fifty-two thousand and fifty-three Vietnamese dong</t>
  </si>
  <si>
    <t>This document is made in 02 (two) equally valid copies, each party keeps 01 (one) copy as a basis for implementation.</t>
  </si>
  <si>
    <t>Ho Chi Minh City, date.....month.....year 20...</t>
  </si>
  <si>
    <t>Party B</t>
  </si>
  <si>
    <t>Party A</t>
  </si>
  <si>
    <t>Lê Tiểu Bình Long</t>
  </si>
  <si>
    <t>Nguyen Van Tan</t>
  </si>
  <si>
    <t>Channel Name</t>
  </si>
  <si>
    <t>Channel ID</t>
  </si>
  <si>
    <t>Network</t>
  </si>
  <si>
    <t>Ohenemedia - Music</t>
  </si>
  <si>
    <t>Share</t>
  </si>
  <si>
    <t>Share Amount USD</t>
  </si>
  <si>
    <t xml:space="preserve">Total Channel
Revenue (USD)
</t>
  </si>
  <si>
    <t>(1)</t>
  </si>
  <si>
    <t>(2)</t>
  </si>
  <si>
    <t>(3) = (1) * (2)</t>
  </si>
  <si>
    <t>Paid</t>
  </si>
  <si>
    <t>(4) = (3) * Exchage Rate</t>
  </si>
  <si>
    <t>Mô Tả Exchange Month</t>
  </si>
  <si>
    <t>25,049 đ ( Exchange rate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</si>
</sst>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-"/>
    <numFmt numFmtId="165" formatCode="#,###"/>
    <numFmt numFmtId="166" formatCode="&quot;$&quot;#,##0.00"/>
  </numFmts>
  <fonts count="7" x14ac:knownFonts="1">
    <font>
      <sz val="11"/>
      <color rgb="FF00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 wrapText="1"/>
    </xf>
    <xf numFmtId="49" fontId="0" fillId="2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0" fontId="6" fillId="0" borderId="0" xfId="0" applyFont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center"/>
    </xf>
    <xf numFmtId="9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H28" sqref="H28:I28"/>
    </sheetView>
  </sheetViews>
  <sheetFormatPr defaultRowHeight="14.4" x14ac:dyDescent="0.3"/>
  <cols>
    <col min="1" max="1" width="4" bestFit="1" customWidth="1"/>
    <col min="2" max="2" width="22" bestFit="1" customWidth="1"/>
    <col min="3" max="3" width="29" bestFit="1" customWidth="1"/>
    <col min="4" max="4" width="29" customWidth="1"/>
    <col min="5" max="5" width="17" bestFit="1" customWidth="1"/>
    <col min="6" max="6" width="13" bestFit="1" customWidth="1"/>
    <col min="7" max="7" width="15.88671875" customWidth="1"/>
    <col min="8" max="8" width="29" bestFit="1" customWidth="1"/>
    <col min="9" max="9" width="13.21875" customWidth="1"/>
  </cols>
  <sheetData>
    <row r="1" spans="1:9" ht="15.6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5.6" x14ac:dyDescent="0.3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15.6" x14ac:dyDescent="0.3">
      <c r="A3" s="8" t="s">
        <v>2</v>
      </c>
      <c r="B3" s="8"/>
      <c r="C3" s="8"/>
      <c r="D3" s="8"/>
      <c r="E3" s="8"/>
      <c r="F3" s="8"/>
      <c r="G3" s="8"/>
      <c r="H3" s="8"/>
      <c r="I3" s="8"/>
    </row>
    <row r="4" spans="1:9" ht="15.6" x14ac:dyDescent="0.3">
      <c r="A4" s="30" t="s">
        <v>3</v>
      </c>
      <c r="B4" s="8"/>
      <c r="C4" s="8"/>
      <c r="D4" s="8"/>
      <c r="E4" s="8"/>
      <c r="F4" s="8"/>
      <c r="G4" s="8"/>
      <c r="H4" s="8"/>
      <c r="I4" s="8"/>
    </row>
    <row r="6" spans="1:9" ht="15.6" x14ac:dyDescent="0.3">
      <c r="B6" s="9" t="s">
        <v>4</v>
      </c>
      <c r="C6" s="9"/>
      <c r="D6" s="9"/>
      <c r="E6" s="9"/>
      <c r="F6" s="9"/>
      <c r="G6" s="9"/>
      <c r="H6" s="9"/>
      <c r="I6" s="9"/>
    </row>
    <row r="7" spans="1:9" ht="15.6" x14ac:dyDescent="0.3">
      <c r="B7" s="10" t="s">
        <v>5</v>
      </c>
      <c r="C7" s="10"/>
      <c r="D7" s="10"/>
      <c r="E7" s="10"/>
      <c r="F7" s="10"/>
      <c r="G7" s="10"/>
      <c r="H7" s="10"/>
      <c r="I7" s="10"/>
    </row>
    <row r="8" spans="1:9" ht="15.6" x14ac:dyDescent="0.3">
      <c r="B8" s="10" t="s">
        <v>6</v>
      </c>
      <c r="C8" s="10"/>
      <c r="D8" s="10"/>
      <c r="E8" s="10"/>
      <c r="F8" s="10"/>
      <c r="G8" s="10"/>
      <c r="H8" s="10"/>
      <c r="I8" s="10"/>
    </row>
    <row r="9" spans="1:9" ht="15.6" x14ac:dyDescent="0.3">
      <c r="B9" s="10" t="s">
        <v>7</v>
      </c>
      <c r="C9" s="10"/>
      <c r="D9" s="10"/>
      <c r="E9" s="10"/>
      <c r="F9" s="10" t="s">
        <v>8</v>
      </c>
      <c r="G9" s="10"/>
      <c r="H9" s="10"/>
      <c r="I9" s="10"/>
    </row>
    <row r="11" spans="1:9" ht="15.6" x14ac:dyDescent="0.3">
      <c r="B11" s="9" t="s">
        <v>9</v>
      </c>
      <c r="C11" s="9"/>
      <c r="D11" s="9"/>
      <c r="E11" s="9"/>
      <c r="F11" s="9"/>
      <c r="G11" s="9"/>
      <c r="H11" s="9"/>
      <c r="I11" s="9"/>
    </row>
    <row r="12" spans="1:9" ht="15.6" x14ac:dyDescent="0.3">
      <c r="B12" s="10" t="s">
        <v>10</v>
      </c>
      <c r="C12" s="10"/>
      <c r="D12" s="10"/>
      <c r="E12" s="10"/>
      <c r="F12" s="10"/>
      <c r="G12" s="10"/>
      <c r="H12" s="10"/>
      <c r="I12" s="10"/>
    </row>
    <row r="13" spans="1:9" ht="15.6" x14ac:dyDescent="0.3">
      <c r="B13" s="10" t="s">
        <v>11</v>
      </c>
      <c r="C13" s="10"/>
      <c r="D13" s="10"/>
      <c r="E13" s="10"/>
      <c r="F13" s="10"/>
      <c r="G13" s="10"/>
      <c r="H13" s="10"/>
      <c r="I13" s="10"/>
    </row>
    <row r="14" spans="1:9" ht="15.6" x14ac:dyDescent="0.3">
      <c r="B14" s="10" t="s">
        <v>12</v>
      </c>
      <c r="C14" s="10"/>
      <c r="D14" s="10"/>
      <c r="E14" s="10"/>
      <c r="F14" s="10"/>
      <c r="G14" s="10"/>
      <c r="H14" s="10"/>
      <c r="I14" s="10"/>
    </row>
    <row r="15" spans="1:9" ht="15.6" x14ac:dyDescent="0.3">
      <c r="B15" s="10" t="s">
        <v>13</v>
      </c>
      <c r="C15" s="10"/>
      <c r="D15" s="10"/>
      <c r="E15" s="10"/>
      <c r="F15" s="10" t="s">
        <v>14</v>
      </c>
      <c r="G15" s="10"/>
      <c r="H15" s="10"/>
      <c r="I15" s="10"/>
    </row>
    <row r="17" spans="1:9" x14ac:dyDescent="0.3">
      <c r="B17" s="28" t="s">
        <v>52</v>
      </c>
      <c r="C17" s="11"/>
      <c r="D17" s="11"/>
      <c r="E17" s="11"/>
      <c r="F17" s="11"/>
      <c r="G17" s="11"/>
      <c r="H17" s="11"/>
      <c r="I17" s="29" t="s">
        <v>53</v>
      </c>
    </row>
    <row r="18" spans="1:9" ht="15.6" x14ac:dyDescent="0.3">
      <c r="A18" s="12" t="s">
        <v>15</v>
      </c>
      <c r="B18" s="12" t="s">
        <v>40</v>
      </c>
      <c r="C18" s="12" t="s">
        <v>41</v>
      </c>
      <c r="D18" s="20" t="s">
        <v>42</v>
      </c>
      <c r="E18" s="13" t="s">
        <v>16</v>
      </c>
      <c r="F18" s="13"/>
      <c r="G18" s="13"/>
      <c r="H18" s="13"/>
      <c r="I18" s="13"/>
    </row>
    <row r="19" spans="1:9" ht="46.8" x14ac:dyDescent="0.3">
      <c r="A19" s="12"/>
      <c r="B19" s="12"/>
      <c r="C19" s="12"/>
      <c r="D19" s="21"/>
      <c r="E19" s="6" t="s">
        <v>46</v>
      </c>
      <c r="F19" s="6" t="s">
        <v>44</v>
      </c>
      <c r="G19" s="6" t="s">
        <v>45</v>
      </c>
      <c r="H19" s="22" t="s">
        <v>50</v>
      </c>
      <c r="I19" s="6" t="s">
        <v>17</v>
      </c>
    </row>
    <row r="20" spans="1:9" ht="15.6" x14ac:dyDescent="0.3">
      <c r="A20" s="5"/>
      <c r="B20" s="5"/>
      <c r="C20" s="5"/>
      <c r="D20" s="5"/>
      <c r="E20" s="23" t="s">
        <v>47</v>
      </c>
      <c r="F20" s="26" t="s">
        <v>48</v>
      </c>
      <c r="G20" s="26" t="s">
        <v>49</v>
      </c>
      <c r="H20" s="24" t="s">
        <v>51</v>
      </c>
      <c r="I20" s="25"/>
    </row>
    <row r="21" spans="1:9" x14ac:dyDescent="0.3">
      <c r="A21" s="2">
        <v>1</v>
      </c>
      <c r="B21" s="2" t="s">
        <v>18</v>
      </c>
      <c r="C21" s="2" t="s">
        <v>19</v>
      </c>
      <c r="D21" s="2" t="s">
        <v>43</v>
      </c>
      <c r="E21" s="3">
        <v>0</v>
      </c>
      <c r="F21" s="2" t="s">
        <v>20</v>
      </c>
      <c r="G21" s="27">
        <f>E21*F21</f>
        <v>0</v>
      </c>
      <c r="H21" s="4">
        <v>0</v>
      </c>
      <c r="I21" s="2"/>
    </row>
    <row r="22" spans="1:9" x14ac:dyDescent="0.3">
      <c r="A22" s="2">
        <v>2</v>
      </c>
      <c r="B22" s="2" t="s">
        <v>21</v>
      </c>
      <c r="C22" s="2" t="s">
        <v>22</v>
      </c>
      <c r="D22" s="2" t="s">
        <v>43</v>
      </c>
      <c r="E22" s="3">
        <v>191.39699999999999</v>
      </c>
      <c r="F22" s="2" t="s">
        <v>20</v>
      </c>
      <c r="G22" s="27">
        <f t="shared" ref="G22:G23" si="0">E22*F22</f>
        <v>153.11760000000001</v>
      </c>
      <c r="H22" s="4">
        <v>3835443</v>
      </c>
      <c r="I22" s="2"/>
    </row>
    <row r="23" spans="1:9" x14ac:dyDescent="0.3">
      <c r="A23" s="2">
        <v>3</v>
      </c>
      <c r="B23" s="2" t="s">
        <v>23</v>
      </c>
      <c r="C23" s="2" t="s">
        <v>24</v>
      </c>
      <c r="D23" s="2" t="s">
        <v>43</v>
      </c>
      <c r="E23" s="3">
        <v>14.936</v>
      </c>
      <c r="F23" s="2" t="s">
        <v>20</v>
      </c>
      <c r="G23" s="27">
        <f t="shared" si="0"/>
        <v>11.9488</v>
      </c>
      <c r="H23" s="4">
        <v>299305</v>
      </c>
      <c r="I23" s="2"/>
    </row>
    <row r="24" spans="1:9" x14ac:dyDescent="0.3">
      <c r="A24" s="2"/>
      <c r="B24" s="2"/>
      <c r="C24" s="2"/>
      <c r="D24" s="2"/>
      <c r="E24" s="3">
        <v>206.333</v>
      </c>
      <c r="F24" s="3"/>
      <c r="G24" s="3">
        <f>SUM(G21:G23)</f>
        <v>165.06640000000002</v>
      </c>
      <c r="H24" s="4">
        <v>4134748</v>
      </c>
      <c r="I24" s="2"/>
    </row>
    <row r="25" spans="1:9" ht="15.6" x14ac:dyDescent="0.3">
      <c r="A25" s="14" t="s">
        <v>25</v>
      </c>
      <c r="B25" s="14"/>
      <c r="C25" s="14"/>
      <c r="D25" s="14"/>
      <c r="E25" s="14"/>
      <c r="F25" s="14"/>
      <c r="G25" s="7"/>
      <c r="H25" s="15" t="s">
        <v>26</v>
      </c>
      <c r="I25" s="15"/>
    </row>
    <row r="26" spans="1:9" ht="15.6" x14ac:dyDescent="0.3">
      <c r="A26" s="14" t="s">
        <v>27</v>
      </c>
      <c r="B26" s="14"/>
      <c r="C26" s="14"/>
      <c r="D26" s="14"/>
      <c r="E26" s="14"/>
      <c r="F26" s="14"/>
      <c r="G26" s="31">
        <v>0.02</v>
      </c>
      <c r="H26" s="15" t="s">
        <v>28</v>
      </c>
      <c r="I26" s="15"/>
    </row>
    <row r="27" spans="1:9" ht="15.6" x14ac:dyDescent="0.3">
      <c r="A27" s="14" t="s">
        <v>29</v>
      </c>
      <c r="B27" s="14"/>
      <c r="C27" s="14"/>
      <c r="D27" s="14"/>
      <c r="E27" s="14"/>
      <c r="F27" s="14"/>
      <c r="G27" s="7"/>
      <c r="H27" s="15" t="s">
        <v>30</v>
      </c>
      <c r="I27" s="15"/>
    </row>
    <row r="28" spans="1:9" ht="15.6" x14ac:dyDescent="0.3">
      <c r="A28" s="14" t="s">
        <v>31</v>
      </c>
      <c r="B28" s="14"/>
      <c r="C28" s="14"/>
      <c r="D28" s="14"/>
      <c r="E28" s="14"/>
      <c r="F28" s="14"/>
      <c r="G28" s="7"/>
      <c r="H28" s="15" t="s">
        <v>32</v>
      </c>
      <c r="I28" s="15"/>
    </row>
    <row r="29" spans="1:9" ht="15.6" x14ac:dyDescent="0.3">
      <c r="A29" s="16" t="s">
        <v>33</v>
      </c>
      <c r="B29" s="16"/>
      <c r="C29" s="16"/>
      <c r="D29" s="16"/>
      <c r="E29" s="16"/>
      <c r="F29" s="16"/>
      <c r="G29" s="16"/>
      <c r="H29" s="16"/>
      <c r="I29" s="16"/>
    </row>
    <row r="30" spans="1:9" ht="15.6" x14ac:dyDescent="0.3">
      <c r="A30" s="17" t="s">
        <v>34</v>
      </c>
      <c r="B30" s="17"/>
      <c r="C30" s="17"/>
      <c r="D30" s="17"/>
      <c r="E30" s="17"/>
      <c r="F30" s="17"/>
      <c r="G30" s="17"/>
      <c r="H30" s="17"/>
      <c r="I30" s="17"/>
    </row>
    <row r="31" spans="1:9" ht="15.6" x14ac:dyDescent="0.3">
      <c r="E31" s="18" t="s">
        <v>35</v>
      </c>
      <c r="F31" s="18"/>
      <c r="G31" s="18"/>
      <c r="H31" s="18"/>
      <c r="I31" s="18"/>
    </row>
    <row r="32" spans="1:9" ht="15.6" x14ac:dyDescent="0.3">
      <c r="A32" s="19" t="s">
        <v>36</v>
      </c>
      <c r="B32" s="19"/>
      <c r="C32" s="19"/>
      <c r="D32" s="1"/>
      <c r="E32" s="19" t="s">
        <v>37</v>
      </c>
      <c r="F32" s="19"/>
      <c r="G32" s="19"/>
      <c r="H32" s="19"/>
      <c r="I32" s="19"/>
    </row>
    <row r="36" spans="1:9" ht="15.6" x14ac:dyDescent="0.3">
      <c r="A36" s="19" t="s">
        <v>38</v>
      </c>
      <c r="B36" s="19"/>
      <c r="C36" s="19"/>
      <c r="D36" s="1"/>
      <c r="E36" s="19" t="s">
        <v>39</v>
      </c>
      <c r="F36" s="19"/>
      <c r="G36" s="19"/>
      <c r="H36" s="19"/>
      <c r="I36" s="19"/>
    </row>
  </sheetData>
  <sheetProtection formatCells="0" formatColumns="0" formatRows="0" insertColumns="0" insertRows="0" insertHyperlinks="0" deleteColumns="0" deleteRows="0" sort="0" autoFilter="0" pivotTables="0"/>
  <mergeCells count="36">
    <mergeCell ref="A32:C32"/>
    <mergeCell ref="E32:I32"/>
    <mergeCell ref="A36:C36"/>
    <mergeCell ref="E36:I36"/>
    <mergeCell ref="D18:D19"/>
    <mergeCell ref="A28:F28"/>
    <mergeCell ref="H28:I28"/>
    <mergeCell ref="A29:I29"/>
    <mergeCell ref="A30:I30"/>
    <mergeCell ref="E31:I31"/>
    <mergeCell ref="A25:F25"/>
    <mergeCell ref="H25:I25"/>
    <mergeCell ref="A26:F26"/>
    <mergeCell ref="H26:I26"/>
    <mergeCell ref="A27:F27"/>
    <mergeCell ref="H27:I27"/>
    <mergeCell ref="B17:H17"/>
    <mergeCell ref="A18:A19"/>
    <mergeCell ref="B18:B19"/>
    <mergeCell ref="C18:C19"/>
    <mergeCell ref="E18:I18"/>
    <mergeCell ref="B12:I12"/>
    <mergeCell ref="B13:I13"/>
    <mergeCell ref="B14:I14"/>
    <mergeCell ref="B15:E15"/>
    <mergeCell ref="F15:I15"/>
    <mergeCell ref="B7:I7"/>
    <mergeCell ref="B8:I8"/>
    <mergeCell ref="B9:E9"/>
    <mergeCell ref="F9:I9"/>
    <mergeCell ref="B11:I11"/>
    <mergeCell ref="A1:I1"/>
    <mergeCell ref="A2:I2"/>
    <mergeCell ref="A3:I3"/>
    <mergeCell ref="A4:I4"/>
    <mergeCell ref="B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TY TNHH LBD MEDIA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CÔNG TY TNHH LBD MEDIA</dc:title>
  <dc:subject/>
  <dc:creator>Unknown Creator</dc:creator>
  <cp:keywords/>
  <dc:description/>
  <cp:lastModifiedBy>Admin</cp:lastModifiedBy>
  <dcterms:created xsi:type="dcterms:W3CDTF">2026-05-13T09:44:47Z</dcterms:created>
  <dcterms:modified xsi:type="dcterms:W3CDTF">2026-05-13T10:10:08Z</dcterms:modified>
  <cp:category/>
</cp:coreProperties>
</file>